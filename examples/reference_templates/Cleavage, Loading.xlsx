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우상훈 펩타이드\이론 &amp; 실험 방법\"/>
    </mc:Choice>
  </mc:AlternateContent>
  <bookViews>
    <workbookView xWindow="0" yWindow="0" windowWidth="28800" windowHeight="12390" firstSheet="2" activeTab="2"/>
  </bookViews>
  <sheets>
    <sheet name="cleavage, HPLC" sheetId="2" r:id="rId1"/>
    <sheet name="Loading" sheetId="3" r:id="rId2"/>
    <sheet name="Sheet1" sheetId="4" r:id="rId3"/>
  </sheets>
  <definedNames>
    <definedName name="_xlnm.Print_Area" localSheetId="0">'cleavage, HPLC'!$A$1:$L$53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4" l="1"/>
  <c r="Q18" i="4" s="1"/>
  <c r="O13" i="4" l="1"/>
  <c r="Q18" i="3"/>
  <c r="O18" i="3" l="1"/>
</calcChain>
</file>

<file path=xl/sharedStrings.xml><?xml version="1.0" encoding="utf-8"?>
<sst xmlns="http://schemas.openxmlformats.org/spreadsheetml/2006/main" count="103" uniqueCount="76">
  <si>
    <r>
      <t>cleavage 용액 제조 TFA 95% : H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O 2.5% : TIS 2.5% (보통은 30~40배, but Max 100~200배까지 하는 경우도 있음) (C,R은 잘 안잘려서 TFA당량을 더 높임)</t>
    </r>
    <phoneticPr fontId="1" type="noConversion"/>
  </si>
  <si>
    <t xml:space="preserve">(ex)loading scale=4.0mmol , 100배 -&gt;4.0*100=400ml </t>
    <phoneticPr fontId="1" type="noConversion"/>
  </si>
  <si>
    <t>다 말린 반응기에 cleavage 용액 첨가 후 (보통3시간) 후 반응보기 (용량에 따라 비커 or 반응기 선택)</t>
    <phoneticPr fontId="1" type="noConversion"/>
  </si>
  <si>
    <t>resin과 peptide 분리 (반응기라면 펌프로 비커, 비커라면 반응기에 옮겨 담거나 필터사용)</t>
    <phoneticPr fontId="1" type="noConversion"/>
  </si>
  <si>
    <t>TFA(cleavage solution) 1 : Ether 4 비율로 Ether를 넣고 흔들어서 잘 푼다 (Ether가 있는 비커에 저으면서 peptide 넣기)</t>
    <phoneticPr fontId="1" type="noConversion"/>
  </si>
  <si>
    <t xml:space="preserve">원심분리기를 이용하여 peptide를 침전시켜 상층액을 버린후 </t>
    <phoneticPr fontId="1" type="noConversion"/>
  </si>
  <si>
    <t>한번더 TFA 1: Ether 4 로 워시를 후 원심분리기를 이용해 한번더 상층액을 버린다 (횟수는 고정이 아님)</t>
  </si>
  <si>
    <t>남은 peptide는 넓게 펴서 말린후 LC를 본다.</t>
    <phoneticPr fontId="1" type="noConversion"/>
  </si>
  <si>
    <t>소용량은 반응기에다 cleavage후 50ml palcon에다 담고 ether넣기</t>
    <phoneticPr fontId="1" type="noConversion"/>
  </si>
  <si>
    <t>HPLC</t>
    <phoneticPr fontId="1" type="noConversion"/>
  </si>
  <si>
    <t>Method</t>
    <phoneticPr fontId="1" type="noConversion"/>
  </si>
  <si>
    <t>ACN 농도</t>
    <phoneticPr fontId="1" type="noConversion"/>
  </si>
  <si>
    <t>시간</t>
    <phoneticPr fontId="1" type="noConversion"/>
  </si>
  <si>
    <t>1분당 농도증가량</t>
    <phoneticPr fontId="1" type="noConversion"/>
  </si>
  <si>
    <t>Normal</t>
    <phoneticPr fontId="1" type="noConversion"/>
  </si>
  <si>
    <t>5%~65%</t>
    <phoneticPr fontId="1" type="noConversion"/>
  </si>
  <si>
    <t>30min</t>
    <phoneticPr fontId="1" type="noConversion"/>
  </si>
  <si>
    <t>Hydrophilic</t>
    <phoneticPr fontId="1" type="noConversion"/>
  </si>
  <si>
    <t>0%~30%</t>
    <phoneticPr fontId="1" type="noConversion"/>
  </si>
  <si>
    <t>hydrophobic</t>
    <phoneticPr fontId="1" type="noConversion"/>
  </si>
  <si>
    <t>20%~80%</t>
    <phoneticPr fontId="1" type="noConversion"/>
  </si>
  <si>
    <t>30min</t>
    <phoneticPr fontId="1" type="noConversion"/>
  </si>
  <si>
    <r>
      <t xml:space="preserve">Normal에서 7.5분 이하면 hydrophilic으로, 20분 이상이면 hydrophobic으로 한번더 진행 </t>
    </r>
    <r>
      <rPr>
        <b/>
        <sz val="11"/>
        <color rgb="FFFF0000"/>
        <rFont val="맑은 고딕"/>
        <family val="3"/>
        <charset val="129"/>
        <scheme val="minor"/>
      </rPr>
      <t>(필수X)</t>
    </r>
    <phoneticPr fontId="1" type="noConversion"/>
  </si>
  <si>
    <t xml:space="preserve">컴퓨터와 HPLC 4개의 Power On → Empowr 실행 </t>
    <phoneticPr fontId="1" type="noConversion"/>
  </si>
  <si>
    <t>User Name (ID)</t>
    <phoneticPr fontId="1" type="noConversion"/>
  </si>
  <si>
    <t>system</t>
    <phoneticPr fontId="1" type="noConversion"/>
  </si>
  <si>
    <t>Password (PW)</t>
    <phoneticPr fontId="1" type="noConversion"/>
  </si>
  <si>
    <t>manager</t>
    <phoneticPr fontId="1" type="noConversion"/>
  </si>
  <si>
    <r>
      <t xml:space="preserve">Run sample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 xml:space="preserve"> Ok</t>
    </r>
    <phoneticPr fontId="1" type="noConversion"/>
  </si>
  <si>
    <r>
      <t>TFA에 0.05% H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O, ACN 각각 투입 후 centrifuge → 침전물을 Vial에 투입 →</t>
    </r>
    <phoneticPr fontId="1" type="noConversion"/>
  </si>
  <si>
    <t>HPLC에 하단 원판에 아무곳이나 장착 (번호 기억) →</t>
    <phoneticPr fontId="1" type="noConversion"/>
  </si>
  <si>
    <t>Method 2개(Method see, Instrument Method) 맞춘후 Monitor → 안정화를 위해 8분 기다림 →</t>
    <phoneticPr fontId="1" type="noConversion"/>
  </si>
  <si>
    <t>Smaple</t>
    <phoneticPr fontId="1" type="noConversion"/>
  </si>
  <si>
    <t>Peptide Name</t>
    <phoneticPr fontId="1" type="noConversion"/>
  </si>
  <si>
    <t>Vial</t>
    <phoneticPr fontId="1" type="noConversion"/>
  </si>
  <si>
    <t>원판에 Vial를 넣은 Number</t>
    <phoneticPr fontId="1" type="noConversion"/>
  </si>
  <si>
    <t>Injection</t>
    <phoneticPr fontId="1" type="noConversion"/>
  </si>
  <si>
    <t>넣을 양 기입</t>
    <phoneticPr fontId="1" type="noConversion"/>
  </si>
  <si>
    <t>왼쪽 상단에 빨간원 버튼(run), Options 밑에 Injectine 클릭</t>
    <phoneticPr fontId="1" type="noConversion"/>
  </si>
  <si>
    <t>Data Check</t>
    <phoneticPr fontId="1" type="noConversion"/>
  </si>
  <si>
    <t>Empower 실행 → reviwe Data 클릭 → 차트에서 injection → ok더블클릭 → Zoom In →</t>
    <phoneticPr fontId="1" type="noConversion"/>
  </si>
  <si>
    <t>해당 peak(base부분이 아닌 튀어 나온 부분) 드레그 후 check (peak을 나눌때 Ctrl+클릭) →</t>
    <phoneticPr fontId="1" type="noConversion"/>
  </si>
  <si>
    <t xml:space="preserve">Zoom Out → Crude2 file에 저장 → Save 후 차트에 result 우클릭 → preview/publisher → </t>
    <phoneticPr fontId="1" type="noConversion"/>
  </si>
  <si>
    <t>Injection Summry Report (print 사용시 본체에 케이블 연결 확인)</t>
    <phoneticPr fontId="1" type="noConversion"/>
  </si>
  <si>
    <t>(Crude file: 다 채워지면 다른 파일로 만드는 것이므로 숫자가 점점 커짐)</t>
    <phoneticPr fontId="1" type="noConversion"/>
  </si>
  <si>
    <t>cleavage가 끝나면 peptide명, scale, 날짜적고 냉장고에 보관</t>
    <phoneticPr fontId="1" type="noConversion"/>
  </si>
  <si>
    <r>
      <t>mass 확인 시 분자량의 +22(Na</t>
    </r>
    <r>
      <rPr>
        <vertAlign val="superscript"/>
        <sz val="11"/>
        <color theme="1"/>
        <rFont val="맑은 고딕"/>
        <family val="3"/>
        <charset val="129"/>
        <scheme val="minor"/>
      </rPr>
      <t>+</t>
    </r>
    <r>
      <rPr>
        <sz val="11"/>
        <color theme="1"/>
        <rFont val="맑은 고딕"/>
        <family val="2"/>
        <charset val="129"/>
        <scheme val="minor"/>
      </rPr>
      <t>), 38(K</t>
    </r>
    <r>
      <rPr>
        <vertAlign val="superscript"/>
        <sz val="11"/>
        <color theme="1"/>
        <rFont val="맑은 고딕"/>
        <family val="3"/>
        <charset val="129"/>
        <scheme val="minor"/>
      </rPr>
      <t>+</t>
    </r>
    <r>
      <rPr>
        <sz val="11"/>
        <color theme="1"/>
        <rFont val="맑은 고딕"/>
        <family val="2"/>
        <charset val="129"/>
        <scheme val="minor"/>
      </rPr>
      <t>) 까지는 범위 그 외에는 틀린 것임</t>
    </r>
    <phoneticPr fontId="1" type="noConversion"/>
  </si>
  <si>
    <t>mass 확인 후 파일철에서 실제 정제량 확인후 수득량 확인 및 기록</t>
    <phoneticPr fontId="1" type="noConversion"/>
  </si>
  <si>
    <t>약식 loading: resin 1mmol당 methanol0.25ml 20분 한번만</t>
    <phoneticPr fontId="1" type="noConversion"/>
  </si>
  <si>
    <t>준비</t>
    <phoneticPr fontId="1" type="noConversion"/>
  </si>
  <si>
    <t>출근하자마자 vortexer 가장약하게 틀기</t>
    <phoneticPr fontId="1" type="noConversion"/>
  </si>
  <si>
    <t>capping이 끝난 후 약간 덜어내어(약10mg) filter tip위에 넣기 (반응기에 pipet이 안들어가면 반응기를 건조)</t>
    <phoneticPr fontId="1" type="noConversion"/>
  </si>
  <si>
    <t>tip위에 resin을 MC로 4번 워시 후 dry (어느정도마르면 숟가락으로 저으며 말리기)</t>
    <phoneticPr fontId="1" type="noConversion"/>
  </si>
  <si>
    <t>완전 건조후에 e-tube에 10mg덜기 (9.7~10.3mg 정도) 정확하게 얼마나 덜었는지 기록해두기</t>
    <phoneticPr fontId="1" type="noConversion"/>
  </si>
  <si>
    <t>resin10mg e-tube에 20%piperidine 용액 1ml넣고 파라필름으로 밀봉후 30분동안 max로 vortexing</t>
    <phoneticPr fontId="1" type="noConversion"/>
  </si>
  <si>
    <t>15mL conical tube 2개중 1개는 DMF정확히 10mL담고, 1개는 DMF 3mL딸수 있을만큼 담기(6mL이상)</t>
    <phoneticPr fontId="1" type="noConversion"/>
  </si>
  <si>
    <t>(미리 담아두면 DMF 양이 달라짐 오래전 준비 X, 바로 쓸수있을정도로 준비해놓기)</t>
    <phoneticPr fontId="1" type="noConversion"/>
  </si>
  <si>
    <t>vortexing이 끝나면 원심분리로 전부 가라앉게 한뒤에 상층액 0.1mL를 따서 준비한DMF 10mL에 담기</t>
    <phoneticPr fontId="1" type="noConversion"/>
  </si>
  <si>
    <t>Loading</t>
    <phoneticPr fontId="1" type="noConversion"/>
  </si>
  <si>
    <t>UV/VIS spectrophotometer 와 컴퓨터 켜기</t>
    <phoneticPr fontId="1" type="noConversion"/>
  </si>
  <si>
    <t>석영큐벳에 DMF만 3mL 넣고 Autozero 클릭 (영점) (석영큐벳은 불투명한 부분만 만지기)</t>
    <phoneticPr fontId="1" type="noConversion"/>
  </si>
  <si>
    <t>resin scale</t>
    <phoneticPr fontId="1" type="noConversion"/>
  </si>
  <si>
    <t>석영큐벳에 있는 DMF를 비운후 (피펫사용) 10mL에 상층액 섞은 용액 3mL넣고 measure 클릭 (안눌러도 수치는 나옴)</t>
    <phoneticPr fontId="1" type="noConversion"/>
  </si>
  <si>
    <t>수치중 Abs 확인 후 계산식: (101*Abs)/(7.8*resin의 무게) = Loading rate(로딩률)</t>
    <phoneticPr fontId="1" type="noConversion"/>
  </si>
  <si>
    <t>abs</t>
    <phoneticPr fontId="1" type="noConversion"/>
  </si>
  <si>
    <t>resin무게</t>
    <phoneticPr fontId="1" type="noConversion"/>
  </si>
  <si>
    <t>loading rate</t>
    <phoneticPr fontId="1" type="noConversion"/>
  </si>
  <si>
    <t>loading scale</t>
    <phoneticPr fontId="1" type="noConversion"/>
  </si>
  <si>
    <t>Loading rate이용해서 실제 scale 측정</t>
    <phoneticPr fontId="1" type="noConversion"/>
  </si>
  <si>
    <t>정석(소용량) (DCM으로 완전건조 후 무게측정)</t>
    <phoneticPr fontId="1" type="noConversion"/>
  </si>
  <si>
    <t>Loading rate * resin 무게 = scale</t>
    <phoneticPr fontId="1" type="noConversion"/>
  </si>
  <si>
    <t>약식(대용량)</t>
    <phoneticPr fontId="1" type="noConversion"/>
  </si>
  <si>
    <t>Loading rate/resin의 원래 치환률(trityl resin=1.39) * resin scale(Loading 과정에서 Lesin의 몰수)=scale</t>
    <phoneticPr fontId="1" type="noConversion"/>
  </si>
  <si>
    <t>Loading rate/resin의 원래 치환률(trityl resin=1.39) * resin scale(Loading 과정에서 Lesin의 몰수)</t>
    <phoneticPr fontId="1" type="noConversion"/>
  </si>
  <si>
    <t xml:space="preserve"> </t>
    <phoneticPr fontId="1" type="noConversion"/>
  </si>
  <si>
    <t>mmol/g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</si>
</sst>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vertAlign val="superscript"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 diagonalDown="1">
      <left/>
      <right/>
      <top/>
      <bottom/>
      <diagonal style="thin">
        <color rgb="FFFF0000"/>
      </diagonal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I57"/>
  <sheetViews>
    <sheetView zoomScaleNormal="100" workbookViewId="0">
      <selection activeCell="F33" sqref="F33"/>
    </sheetView>
  </sheetViews>
  <sheetFormatPr defaultRowHeight="16.5" x14ac:dyDescent="0.3"/>
  <cols>
    <col min="4" max="4" width="10.75" customWidth="1"/>
    <col min="6" max="6" width="16.5" customWidth="1"/>
  </cols>
  <sheetData>
    <row r="6" spans="2:8" ht="16.5" customHeight="1" x14ac:dyDescent="0.3">
      <c r="B6" s="1" t="s">
        <v>0</v>
      </c>
    </row>
    <row r="7" spans="2:8" ht="16.5" customHeight="1" x14ac:dyDescent="0.3">
      <c r="B7" s="1" t="s">
        <v>1</v>
      </c>
    </row>
    <row r="8" spans="2:8" x14ac:dyDescent="0.3">
      <c r="B8" t="s">
        <v>2</v>
      </c>
      <c r="H8" s="2"/>
    </row>
    <row r="9" spans="2:8" x14ac:dyDescent="0.3">
      <c r="B9" t="s">
        <v>3</v>
      </c>
      <c r="H9" s="2"/>
    </row>
    <row r="10" spans="2:8" x14ac:dyDescent="0.3">
      <c r="B10" t="s">
        <v>4</v>
      </c>
    </row>
    <row r="11" spans="2:8" x14ac:dyDescent="0.3">
      <c r="B11" t="s">
        <v>5</v>
      </c>
    </row>
    <row r="12" spans="2:8" x14ac:dyDescent="0.3">
      <c r="B12" t="s">
        <v>6</v>
      </c>
    </row>
    <row r="13" spans="2:8" x14ac:dyDescent="0.3">
      <c r="B13" t="s">
        <v>7</v>
      </c>
    </row>
    <row r="15" spans="2:8" x14ac:dyDescent="0.3">
      <c r="B15" t="s">
        <v>8</v>
      </c>
    </row>
    <row r="23" spans="2:9" x14ac:dyDescent="0.3">
      <c r="B23" s="3" t="s">
        <v>9</v>
      </c>
    </row>
    <row r="24" spans="2:9" x14ac:dyDescent="0.3">
      <c r="B24" s="4"/>
    </row>
    <row r="25" spans="2:9" x14ac:dyDescent="0.3">
      <c r="B25" s="19" t="s">
        <v>10</v>
      </c>
      <c r="C25" s="19"/>
      <c r="D25" s="5" t="s">
        <v>11</v>
      </c>
      <c r="E25" s="5" t="s">
        <v>12</v>
      </c>
      <c r="F25" s="5" t="s">
        <v>13</v>
      </c>
    </row>
    <row r="26" spans="2:9" x14ac:dyDescent="0.3">
      <c r="B26" s="20" t="s">
        <v>14</v>
      </c>
      <c r="C26" s="20"/>
      <c r="D26" s="6" t="s">
        <v>15</v>
      </c>
      <c r="E26" s="6" t="s">
        <v>16</v>
      </c>
      <c r="F26" s="7">
        <v>0.02</v>
      </c>
    </row>
    <row r="27" spans="2:9" x14ac:dyDescent="0.3">
      <c r="B27" s="20" t="s">
        <v>17</v>
      </c>
      <c r="C27" s="20"/>
      <c r="D27" s="6" t="s">
        <v>18</v>
      </c>
      <c r="E27" s="6" t="s">
        <v>16</v>
      </c>
      <c r="F27" s="7">
        <v>0.01</v>
      </c>
    </row>
    <row r="28" spans="2:9" x14ac:dyDescent="0.3">
      <c r="B28" s="20" t="s">
        <v>19</v>
      </c>
      <c r="C28" s="20"/>
      <c r="D28" s="6" t="s">
        <v>20</v>
      </c>
      <c r="E28" s="6" t="s">
        <v>21</v>
      </c>
      <c r="F28" s="7">
        <v>0.02</v>
      </c>
    </row>
    <row r="29" spans="2:9" x14ac:dyDescent="0.3">
      <c r="B29" s="16" t="s">
        <v>22</v>
      </c>
      <c r="C29" s="16"/>
      <c r="D29" s="16"/>
      <c r="E29" s="16"/>
      <c r="F29" s="16"/>
      <c r="G29" s="16"/>
      <c r="H29" s="16"/>
      <c r="I29" s="16"/>
    </row>
    <row r="32" spans="2:9" x14ac:dyDescent="0.3">
      <c r="B32" s="15" t="s">
        <v>23</v>
      </c>
      <c r="C32" s="15"/>
      <c r="D32" s="15"/>
      <c r="E32" s="15"/>
      <c r="F32" s="15"/>
    </row>
    <row r="33" spans="2:9" x14ac:dyDescent="0.3">
      <c r="B33" s="20" t="s">
        <v>24</v>
      </c>
      <c r="C33" s="20"/>
      <c r="D33" s="8" t="s">
        <v>25</v>
      </c>
    </row>
    <row r="34" spans="2:9" x14ac:dyDescent="0.3">
      <c r="B34" s="20" t="s">
        <v>26</v>
      </c>
      <c r="C34" s="20"/>
      <c r="D34" s="8" t="s">
        <v>27</v>
      </c>
    </row>
    <row r="35" spans="2:9" x14ac:dyDescent="0.3">
      <c r="B35" s="21" t="s">
        <v>28</v>
      </c>
      <c r="C35" s="21"/>
    </row>
    <row r="37" spans="2:9" ht="18" x14ac:dyDescent="0.3">
      <c r="B37" s="15" t="s">
        <v>29</v>
      </c>
      <c r="C37" s="15"/>
      <c r="D37" s="15"/>
      <c r="E37" s="15"/>
      <c r="F37" s="15"/>
      <c r="G37" s="15"/>
      <c r="H37" s="15"/>
      <c r="I37" s="15"/>
    </row>
    <row r="38" spans="2:9" x14ac:dyDescent="0.3">
      <c r="B38" s="15" t="s">
        <v>30</v>
      </c>
      <c r="C38" s="15"/>
      <c r="D38" s="15"/>
      <c r="E38" s="15"/>
      <c r="F38" s="15"/>
      <c r="G38" s="15"/>
      <c r="H38" s="15"/>
      <c r="I38" s="15"/>
    </row>
    <row r="39" spans="2:9" x14ac:dyDescent="0.3">
      <c r="B39" s="15" t="s">
        <v>31</v>
      </c>
      <c r="C39" s="15"/>
      <c r="D39" s="15"/>
      <c r="E39" s="15"/>
      <c r="F39" s="15"/>
      <c r="G39" s="15"/>
      <c r="H39" s="15"/>
      <c r="I39" s="15"/>
    </row>
    <row r="40" spans="2:9" x14ac:dyDescent="0.3">
      <c r="B40" s="9" t="s">
        <v>32</v>
      </c>
      <c r="C40" s="17" t="s">
        <v>33</v>
      </c>
      <c r="D40" s="17"/>
      <c r="E40" s="17"/>
    </row>
    <row r="41" spans="2:9" x14ac:dyDescent="0.3">
      <c r="B41" s="9" t="s">
        <v>34</v>
      </c>
      <c r="C41" s="17" t="s">
        <v>35</v>
      </c>
      <c r="D41" s="17"/>
      <c r="E41" s="17"/>
    </row>
    <row r="42" spans="2:9" x14ac:dyDescent="0.3">
      <c r="B42" s="9" t="s">
        <v>36</v>
      </c>
      <c r="C42" s="17" t="s">
        <v>37</v>
      </c>
      <c r="D42" s="17"/>
      <c r="E42" s="17"/>
    </row>
    <row r="43" spans="2:9" x14ac:dyDescent="0.3">
      <c r="B43" t="s">
        <v>38</v>
      </c>
    </row>
    <row r="45" spans="2:9" x14ac:dyDescent="0.3">
      <c r="B45" s="18" t="s">
        <v>39</v>
      </c>
      <c r="C45" s="18"/>
    </row>
    <row r="46" spans="2:9" s="11" customFormat="1" x14ac:dyDescent="0.3">
      <c r="B46" s="10"/>
      <c r="C46" s="10"/>
    </row>
    <row r="47" spans="2:9" x14ac:dyDescent="0.3">
      <c r="B47" s="15" t="s">
        <v>40</v>
      </c>
      <c r="C47" s="15"/>
      <c r="D47" s="15"/>
      <c r="E47" s="15"/>
      <c r="F47" s="15"/>
      <c r="G47" s="15"/>
      <c r="H47" s="15"/>
      <c r="I47" s="15"/>
    </row>
    <row r="48" spans="2:9" x14ac:dyDescent="0.3">
      <c r="B48" s="15" t="s">
        <v>41</v>
      </c>
      <c r="C48" s="15"/>
      <c r="D48" s="15"/>
      <c r="E48" s="15"/>
      <c r="F48" s="15"/>
      <c r="G48" s="15"/>
      <c r="H48" s="15"/>
      <c r="I48" s="15"/>
    </row>
    <row r="49" spans="2:9" x14ac:dyDescent="0.3">
      <c r="B49" s="15" t="s">
        <v>42</v>
      </c>
      <c r="C49" s="15"/>
      <c r="D49" s="15"/>
      <c r="E49" s="15"/>
      <c r="F49" s="15"/>
      <c r="G49" s="15"/>
      <c r="H49" s="15"/>
      <c r="I49" s="15"/>
    </row>
    <row r="50" spans="2:9" x14ac:dyDescent="0.3">
      <c r="B50" s="15" t="s">
        <v>43</v>
      </c>
      <c r="C50" s="15"/>
      <c r="D50" s="15"/>
      <c r="E50" s="15"/>
      <c r="F50" s="15"/>
      <c r="G50" s="15"/>
      <c r="H50" s="15"/>
      <c r="I50" s="15"/>
    </row>
    <row r="51" spans="2:9" x14ac:dyDescent="0.3">
      <c r="B51" s="16" t="s">
        <v>44</v>
      </c>
      <c r="C51" s="16"/>
      <c r="D51" s="16"/>
      <c r="E51" s="16"/>
      <c r="F51" s="16"/>
      <c r="G51" s="16"/>
      <c r="H51" s="12"/>
    </row>
    <row r="53" spans="2:9" x14ac:dyDescent="0.3">
      <c r="B53" t="s">
        <v>45</v>
      </c>
    </row>
    <row r="56" spans="2:9" x14ac:dyDescent="0.3">
      <c r="B56" t="s">
        <v>46</v>
      </c>
    </row>
    <row r="57" spans="2:9" x14ac:dyDescent="0.3">
      <c r="B57" t="s">
        <v>47</v>
      </c>
    </row>
  </sheetData>
  <mergeCells count="21">
    <mergeCell ref="B39:I39"/>
    <mergeCell ref="B25:C25"/>
    <mergeCell ref="B26:C26"/>
    <mergeCell ref="B27:C27"/>
    <mergeCell ref="B28:C28"/>
    <mergeCell ref="B29:I29"/>
    <mergeCell ref="B32:F32"/>
    <mergeCell ref="B33:C33"/>
    <mergeCell ref="B34:C34"/>
    <mergeCell ref="B35:C35"/>
    <mergeCell ref="B37:I37"/>
    <mergeCell ref="B38:I38"/>
    <mergeCell ref="B49:I49"/>
    <mergeCell ref="B50:I50"/>
    <mergeCell ref="B51:G51"/>
    <mergeCell ref="C40:E40"/>
    <mergeCell ref="C41:E41"/>
    <mergeCell ref="C42:E42"/>
    <mergeCell ref="B45:C45"/>
    <mergeCell ref="B47:I47"/>
    <mergeCell ref="B48:I48"/>
  </mergeCells>
  <phoneticPr fontId="1" type="noConversion"/>
  <pageMargins left="0.7" right="0.7" top="0.75" bottom="0.75" header="0.3" footer="0.3"/>
  <pageSetup paperSize="9" scale="68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26"/>
  <sheetViews>
    <sheetView workbookViewId="0">
      <selection sqref="A1:XFD1048576"/>
    </sheetView>
  </sheetViews>
  <sheetFormatPr defaultRowHeight="16.5" x14ac:dyDescent="0.3"/>
  <cols>
    <col min="15" max="16" width="11.25" customWidth="1"/>
    <col min="17" max="17" width="12.875" customWidth="1"/>
    <col min="19" max="19" width="10.25" customWidth="1"/>
  </cols>
  <sheetData>
    <row r="2" spans="2:17" x14ac:dyDescent="0.3">
      <c r="B2" t="s">
        <v>48</v>
      </c>
    </row>
    <row r="3" spans="2:17" x14ac:dyDescent="0.3">
      <c r="B3" s="13" t="s">
        <v>49</v>
      </c>
    </row>
    <row r="4" spans="2:17" x14ac:dyDescent="0.3">
      <c r="B4" t="s">
        <v>50</v>
      </c>
    </row>
    <row r="5" spans="2:17" x14ac:dyDescent="0.3">
      <c r="B5" t="s">
        <v>51</v>
      </c>
    </row>
    <row r="6" spans="2:17" x14ac:dyDescent="0.3">
      <c r="B6" t="s">
        <v>52</v>
      </c>
    </row>
    <row r="7" spans="2:17" x14ac:dyDescent="0.3">
      <c r="B7" t="s">
        <v>53</v>
      </c>
    </row>
    <row r="8" spans="2:17" x14ac:dyDescent="0.3">
      <c r="B8" t="s">
        <v>54</v>
      </c>
    </row>
    <row r="9" spans="2:17" x14ac:dyDescent="0.3">
      <c r="B9" t="s">
        <v>55</v>
      </c>
    </row>
    <row r="10" spans="2:17" x14ac:dyDescent="0.3">
      <c r="B10" t="s">
        <v>56</v>
      </c>
    </row>
    <row r="11" spans="2:17" x14ac:dyDescent="0.3">
      <c r="B11" t="s">
        <v>57</v>
      </c>
    </row>
    <row r="13" spans="2:17" x14ac:dyDescent="0.3">
      <c r="B13" s="13" t="s">
        <v>58</v>
      </c>
    </row>
    <row r="14" spans="2:17" x14ac:dyDescent="0.3">
      <c r="B14" t="s">
        <v>59</v>
      </c>
    </row>
    <row r="15" spans="2:17" x14ac:dyDescent="0.3">
      <c r="B15" t="s">
        <v>60</v>
      </c>
      <c r="Q15" t="s">
        <v>61</v>
      </c>
    </row>
    <row r="16" spans="2:17" x14ac:dyDescent="0.3">
      <c r="B16" t="s">
        <v>62</v>
      </c>
      <c r="Q16">
        <v>200</v>
      </c>
    </row>
    <row r="17" spans="2:17" x14ac:dyDescent="0.3">
      <c r="B17" t="s">
        <v>63</v>
      </c>
      <c r="M17" t="s">
        <v>64</v>
      </c>
      <c r="N17" t="s">
        <v>65</v>
      </c>
      <c r="O17" t="s">
        <v>66</v>
      </c>
      <c r="Q17" t="s">
        <v>67</v>
      </c>
    </row>
    <row r="18" spans="2:17" x14ac:dyDescent="0.3">
      <c r="M18">
        <v>0.41299999999999998</v>
      </c>
      <c r="N18">
        <v>10.199999999999999</v>
      </c>
      <c r="O18">
        <f>(101*M18)/(7.8*N18)</f>
        <v>0.52429612870789355</v>
      </c>
      <c r="Q18">
        <f>O18/1.39*Q16</f>
        <v>75.438291900416345</v>
      </c>
    </row>
    <row r="19" spans="2:17" x14ac:dyDescent="0.3">
      <c r="B19" t="s">
        <v>68</v>
      </c>
    </row>
    <row r="20" spans="2:17" x14ac:dyDescent="0.3">
      <c r="B20" t="s">
        <v>72</v>
      </c>
    </row>
    <row r="22" spans="2:17" x14ac:dyDescent="0.3">
      <c r="B22" s="22" t="s">
        <v>69</v>
      </c>
      <c r="C22" s="22"/>
      <c r="D22" s="22"/>
      <c r="E22" s="22"/>
      <c r="F22" s="22"/>
    </row>
    <row r="23" spans="2:17" x14ac:dyDescent="0.3">
      <c r="B23" s="22" t="s">
        <v>70</v>
      </c>
      <c r="C23" s="22"/>
      <c r="D23" s="22"/>
      <c r="E23" s="22"/>
      <c r="F23" s="22"/>
      <c r="G23" s="14"/>
      <c r="H23" s="14"/>
    </row>
    <row r="25" spans="2:17" x14ac:dyDescent="0.3">
      <c r="B25" t="s">
        <v>71</v>
      </c>
    </row>
    <row r="26" spans="2:17" x14ac:dyDescent="0.3">
      <c r="B26" t="s">
        <v>73</v>
      </c>
    </row>
  </sheetData>
  <mergeCells count="2">
    <mergeCell ref="B22:F22"/>
    <mergeCell ref="B23:F23"/>
  </mergeCells>
  <phoneticPr fontId="1" type="noConversion"/>
  <pageMargins left="0.7" right="0.7" top="0.75" bottom="0.75" header="0.3" footer="0.3"/>
  <pageSetup paperSize="9" scale="74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6"/>
  <sheetViews>
    <sheetView tabSelected="1" workbookViewId="0">
      <selection activeCell="M19" sqref="M19"/>
    </sheetView>
  </sheetViews>
  <sheetFormatPr defaultRowHeight="16.5" x14ac:dyDescent="0.3"/>
  <cols>
    <col min="15" max="16" width="11.25" customWidth="1"/>
    <col min="17" max="17" width="12.875" customWidth="1"/>
    <col min="19" max="19" width="10.25" customWidth="1"/>
  </cols>
  <sheetData>
    <row r="2" spans="2:17" x14ac:dyDescent="0.3">
      <c r="B2" t="s">
        <v>48</v>
      </c>
    </row>
    <row r="3" spans="2:17" x14ac:dyDescent="0.3">
      <c r="B3" s="13" t="s">
        <v>49</v>
      </c>
    </row>
    <row r="4" spans="2:17" x14ac:dyDescent="0.3">
      <c r="B4" t="s">
        <v>50</v>
      </c>
    </row>
    <row r="5" spans="2:17" x14ac:dyDescent="0.3">
      <c r="B5" t="s">
        <v>51</v>
      </c>
    </row>
    <row r="6" spans="2:17" x14ac:dyDescent="0.3">
      <c r="B6" t="s">
        <v>52</v>
      </c>
    </row>
    <row r="7" spans="2:17" x14ac:dyDescent="0.3">
      <c r="B7" t="s">
        <v>53</v>
      </c>
    </row>
    <row r="8" spans="2:17" x14ac:dyDescent="0.3">
      <c r="B8" t="s">
        <v>54</v>
      </c>
    </row>
    <row r="9" spans="2:17" x14ac:dyDescent="0.3">
      <c r="B9" t="s">
        <v>55</v>
      </c>
    </row>
    <row r="10" spans="2:17" x14ac:dyDescent="0.3">
      <c r="B10" t="s">
        <v>56</v>
      </c>
    </row>
    <row r="11" spans="2:17" x14ac:dyDescent="0.3">
      <c r="B11" t="s">
        <v>57</v>
      </c>
    </row>
    <row r="13" spans="2:17" x14ac:dyDescent="0.3">
      <c r="B13" s="13" t="s">
        <v>58</v>
      </c>
      <c r="O13">
        <f>$O$18*153.85</f>
        <v>66.405341880341879</v>
      </c>
    </row>
    <row r="14" spans="2:17" x14ac:dyDescent="0.3">
      <c r="B14" t="s">
        <v>59</v>
      </c>
    </row>
    <row r="15" spans="2:17" x14ac:dyDescent="0.3">
      <c r="B15" t="s">
        <v>60</v>
      </c>
      <c r="Q15" t="s">
        <v>61</v>
      </c>
    </row>
    <row r="16" spans="2:17" x14ac:dyDescent="0.3">
      <c r="B16" t="s">
        <v>62</v>
      </c>
      <c r="O16" t="s">
        <v>75</v>
      </c>
      <c r="Q16">
        <v>400</v>
      </c>
    </row>
    <row r="17" spans="2:17" x14ac:dyDescent="0.3">
      <c r="B17" t="s">
        <v>63</v>
      </c>
      <c r="M17" t="s">
        <v>64</v>
      </c>
      <c r="N17" t="s">
        <v>65</v>
      </c>
      <c r="O17" t="s">
        <v>66</v>
      </c>
      <c r="Q17" t="s">
        <v>67</v>
      </c>
    </row>
    <row r="18" spans="2:17" x14ac:dyDescent="0.3">
      <c r="M18">
        <v>0.33</v>
      </c>
      <c r="N18">
        <v>9.9</v>
      </c>
      <c r="O18">
        <f>(101*M18)/(7.8*N18)</f>
        <v>0.43162393162393159</v>
      </c>
      <c r="Q18">
        <f>O18/1.39*Q16</f>
        <v>124.20832564717456</v>
      </c>
    </row>
    <row r="19" spans="2:17" x14ac:dyDescent="0.3">
      <c r="B19" t="s">
        <v>68</v>
      </c>
      <c r="O19" t="s">
        <v>74</v>
      </c>
    </row>
    <row r="20" spans="2:17" x14ac:dyDescent="0.3">
      <c r="B20" t="s">
        <v>72</v>
      </c>
    </row>
    <row r="22" spans="2:17" x14ac:dyDescent="0.3">
      <c r="B22" s="22" t="s">
        <v>69</v>
      </c>
      <c r="C22" s="22"/>
      <c r="D22" s="22"/>
      <c r="E22" s="22"/>
      <c r="F22" s="22"/>
    </row>
    <row r="23" spans="2:17" x14ac:dyDescent="0.3">
      <c r="B23" s="22" t="s">
        <v>70</v>
      </c>
      <c r="C23" s="22"/>
      <c r="D23" s="22"/>
      <c r="E23" s="22"/>
      <c r="F23" s="22"/>
      <c r="G23" s="14"/>
      <c r="H23" s="14"/>
    </row>
    <row r="25" spans="2:17" x14ac:dyDescent="0.3">
      <c r="B25" t="s">
        <v>71</v>
      </c>
    </row>
    <row r="26" spans="2:17" x14ac:dyDescent="0.3">
      <c r="B26" t="s">
        <v>73</v>
      </c>
    </row>
  </sheetData>
  <mergeCells count="2">
    <mergeCell ref="B22:F22"/>
    <mergeCell ref="B23:F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cleavage, HPLC</vt:lpstr>
      <vt:lpstr>Loading</vt:lpstr>
      <vt:lpstr>Sheet1</vt:lpstr>
      <vt:lpstr>'cleavage, HPLC'!Print_Area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웰펩</dc:creator>
  <cp:lastModifiedBy>박봄이</cp:lastModifiedBy>
  <dcterms:created xsi:type="dcterms:W3CDTF">2025-07-22T05:33:59Z</dcterms:created>
  <dcterms:modified xsi:type="dcterms:W3CDTF">2026-05-27T07:33:53Z</dcterms:modified>
</cp:coreProperties>
</file>